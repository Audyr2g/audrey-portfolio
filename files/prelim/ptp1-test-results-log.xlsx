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5dc0e775e19a9f/Documents/4TH YEAR/elective 4/"/>
    </mc:Choice>
  </mc:AlternateContent>
  <xr:revisionPtr revIDLastSave="0" documentId="8_{2044FFB4-6262-40E9-BCC3-7BB4C9098F96}" xr6:coauthVersionLast="47" xr6:coauthVersionMax="47" xr10:uidLastSave="{00000000-0000-0000-0000-000000000000}"/>
  <bookViews>
    <workbookView xWindow="-120" yWindow="-120" windowWidth="29040" windowHeight="15720" xr2:uid="{745F231F-1E83-4CC5-A781-EE239352A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7" i="1" l="1"/>
  <c r="D78" i="1"/>
  <c r="D76" i="1"/>
  <c r="C78" i="1"/>
  <c r="C77" i="1"/>
  <c r="C76" i="1"/>
  <c r="D50" i="1"/>
  <c r="D49" i="1"/>
  <c r="C50" i="1"/>
  <c r="C49" i="1"/>
  <c r="D48" i="1"/>
  <c r="C48" i="1"/>
  <c r="C20" i="1"/>
  <c r="D20" i="1"/>
  <c r="C21" i="1"/>
  <c r="D21" i="1"/>
  <c r="E22" i="1"/>
  <c r="E20" i="1" l="1"/>
  <c r="E76" i="1"/>
  <c r="E78" i="1"/>
  <c r="E77" i="1"/>
  <c r="E50" i="1"/>
  <c r="E49" i="1"/>
  <c r="E48" i="1"/>
  <c r="E21" i="1"/>
</calcChain>
</file>

<file path=xl/sharedStrings.xml><?xml version="1.0" encoding="utf-8"?>
<sst xmlns="http://schemas.openxmlformats.org/spreadsheetml/2006/main" count="259" uniqueCount="50">
  <si>
    <t>TEST</t>
  </si>
  <si>
    <t>EXPECTED</t>
  </si>
  <si>
    <t>PREDICTED</t>
  </si>
  <si>
    <t>CONFIDENCE</t>
  </si>
  <si>
    <t>CORRECT?</t>
  </si>
  <si>
    <t>TEST SENTENCE</t>
  </si>
  <si>
    <t>The flight exceeded my expectations and the crew was amazing.</t>
  </si>
  <si>
    <t>Positive_Praise</t>
  </si>
  <si>
    <t>Checking in was quick and hassle-free.</t>
  </si>
  <si>
    <t>Everything about this trip was excellent.</t>
  </si>
  <si>
    <t>The airline lost my suitcase after landing.</t>
  </si>
  <si>
    <t>Negative_Complaint</t>
  </si>
  <si>
    <t>Our flight departed three hours late.</t>
  </si>
  <si>
    <t>The cabin was dirty and smelled unpleasant.</t>
  </si>
  <si>
    <t>I need to update my booking immediately.</t>
  </si>
  <si>
    <t>Urgent_Support</t>
  </si>
  <si>
    <t>I accidentally entered the wrong passenger name.</t>
  </si>
  <si>
    <t>My e-ticket has not arrived yet.</t>
  </si>
  <si>
    <t>Great, another delayed flight. Just what I needed.</t>
  </si>
  <si>
    <t xml:space="preserve">Great, another delayed flight. Just what I needed. </t>
  </si>
  <si>
    <t>yes</t>
  </si>
  <si>
    <t>no</t>
  </si>
  <si>
    <t>TOTAL TEST CASES</t>
  </si>
  <si>
    <t>ACCURACY</t>
  </si>
  <si>
    <t>-</t>
  </si>
  <si>
    <t>CORRECT TEST</t>
  </si>
  <si>
    <t>Can I request a special meal for my flight?</t>
  </si>
  <si>
    <t>n/a</t>
  </si>
  <si>
    <t>General Inquiry (Out-of-Vocabulary)</t>
  </si>
  <si>
    <t>Test Case A – Clear Patterns</t>
  </si>
  <si>
    <t>Test Case B – Ambiguous/Sarcastic Phrase</t>
  </si>
  <si>
    <t>Test Case C – Out-of-Vocabulary/Edge Case</t>
  </si>
  <si>
    <t>TEST 1-9</t>
  </si>
  <si>
    <t>N/A</t>
  </si>
  <si>
    <t>ADDED MORE SENTENCES IN NEGATIVE AND URGENT ONLY</t>
  </si>
  <si>
    <t>10 EXAMPLES OF Negative_Complaint</t>
  </si>
  <si>
    <t>10 EXAMPLES OF Urgent_Support</t>
  </si>
  <si>
    <t>10 EXAMPLES OF Positive_Praise</t>
  </si>
  <si>
    <t>15 EXAMPLES OF Negative_Complaint</t>
  </si>
  <si>
    <t>15 EXAMPLES OF Urgent_Support</t>
  </si>
  <si>
    <t>MODEL REFINEMENT ITERATIONS 2</t>
  </si>
  <si>
    <t>ADDED MORE SENTENCES IN POSITIVE,NEGATIVE AND URGENT</t>
  </si>
  <si>
    <t>15 EXAMPLES OF Positive_Praise</t>
  </si>
  <si>
    <t>How do I check my flight status?</t>
  </si>
  <si>
    <t>Can I earn frequent flyer points on this ticket?</t>
  </si>
  <si>
    <t>Fantastic, the airline lost my luggage again.</t>
  </si>
  <si>
    <t>Wonderful, my flight was delayed for the third time this month.</t>
  </si>
  <si>
    <t>TEST 10-12</t>
  </si>
  <si>
    <t>TEST 13-15</t>
  </si>
  <si>
    <t>MODEL REFINEMENT ITERATION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</si>
</sst>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9" fontId="2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1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/>
    <xf numFmtId="9" fontId="5" fillId="2" borderId="6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9" fontId="5" fillId="2" borderId="9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60"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D8604-4D9B-4134-94F5-ADF013F10AFA}" name="Table1" displayName="Table1" ref="A1:F16" totalsRowShown="0" headerRowDxfId="59" dataDxfId="57" headerRowBorderDxfId="58" tableBorderDxfId="56" totalsRowBorderDxfId="55">
  <autoFilter ref="A1:F16" xr:uid="{2F4D8604-4D9B-4134-94F5-ADF013F10AFA}"/>
  <tableColumns count="6">
    <tableColumn id="1" xr3:uid="{CCEC9C75-371C-4DBD-9A0A-8B5A3BC8FD0C}" name="TEST" dataDxfId="54"/>
    <tableColumn id="2" xr3:uid="{430ECD57-6806-4BFF-A862-E20B4930A1FA}" name="TEST SENTENCE" dataDxfId="53"/>
    <tableColumn id="3" xr3:uid="{242EC3C6-2709-4278-8DC9-C01F935D2121}" name="EXPECTED" dataDxfId="52"/>
    <tableColumn id="4" xr3:uid="{DFEAA31D-6A91-4BD9-9DF5-E9CB17B5E948}" name="PREDICTED" dataDxfId="51"/>
    <tableColumn id="5" xr3:uid="{40925A5E-2EA3-4782-925C-0C5AE1403125}" name="CONFIDENCE" dataDxfId="50"/>
    <tableColumn id="6" xr3:uid="{9EE30C9E-0342-49D6-88BA-D854F4E577D6}" name="CORRECT?" dataDxfId="4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739544-1BD2-4826-8EE9-5EEB6EDBFF83}" name="Table2" displayName="Table2" ref="B19:E23" totalsRowShown="0" headerRowDxfId="48" dataDxfId="46" headerRowBorderDxfId="47" tableBorderDxfId="45" totalsRowBorderDxfId="44">
  <autoFilter ref="B19:E23" xr:uid="{4D739544-1BD2-4826-8EE9-5EEB6EDBFF83}"/>
  <tableColumns count="4">
    <tableColumn id="1" xr3:uid="{E058D0F3-E30D-4371-AC1C-0871CFB8EA24}" name="-" dataDxfId="43"/>
    <tableColumn id="2" xr3:uid="{86619E73-E419-4090-971E-C48C78183B56}" name="TOTAL TEST CASES" dataDxfId="42"/>
    <tableColumn id="3" xr3:uid="{751DEF92-B181-4BBB-912C-965C0B091213}" name="CORRECT TEST" dataDxfId="41"/>
    <tableColumn id="4" xr3:uid="{588F61F2-5C5D-415D-A628-197BF98676ED}" name="ACCURACY" dataDxfId="40">
      <calculatedColumnFormula>Table2[[#This Row],[CORRECT TEST]]/Table2[[#This Row],[TOTAL TEST CASES]]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C9653F-BB13-4909-8077-2F455BA097C9}" name="Table3" displayName="Table3" ref="A30:F45" totalsRowShown="0" headerRowDxfId="39" dataDxfId="37" headerRowBorderDxfId="38" tableBorderDxfId="36" totalsRowBorderDxfId="35">
  <autoFilter ref="A30:F45" xr:uid="{A3C9653F-BB13-4909-8077-2F455BA097C9}"/>
  <tableColumns count="6">
    <tableColumn id="1" xr3:uid="{0526CEA4-DB5D-42DB-808F-A6598F7DBEDB}" name="TEST" dataDxfId="34"/>
    <tableColumn id="2" xr3:uid="{CBE06324-AC40-43B6-A582-036D01B810DE}" name="TEST SENTENCE" dataDxfId="33"/>
    <tableColumn id="3" xr3:uid="{267DE99A-DE65-4137-BF35-8AABC3EA99A8}" name="EXPECTED" dataDxfId="32"/>
    <tableColumn id="4" xr3:uid="{75534497-C6E5-4153-9684-E9E43D1DA9E9}" name="PREDICTED" dataDxfId="31"/>
    <tableColumn id="5" xr3:uid="{A3D24D7D-7646-4855-BB35-6F021CD0795A}" name="CONFIDENCE" dataDxfId="30"/>
    <tableColumn id="6" xr3:uid="{AE8ED39F-6FB5-4C9F-8F8F-34CE3A58C624}" name="CORRECT?" dataDxfId="2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1F1CEA-D613-47E3-9125-B2A72B349758}" name="Table356" displayName="Table356" ref="A57:F72" totalsRowShown="0" headerRowDxfId="28" dataDxfId="26" headerRowBorderDxfId="27" tableBorderDxfId="25" totalsRowBorderDxfId="24">
  <autoFilter ref="A57:F72" xr:uid="{BE1F1CEA-D613-47E3-9125-B2A72B349758}"/>
  <tableColumns count="6">
    <tableColumn id="1" xr3:uid="{ABB8224C-1620-41DF-A250-DC05A4BBCB9A}" name="TEST" dataDxfId="23"/>
    <tableColumn id="2" xr3:uid="{C92DD529-8601-4130-890C-01EE0248737F}" name="TEST SENTENCE" dataDxfId="22"/>
    <tableColumn id="3" xr3:uid="{1F83A805-936E-4362-9BF4-B586ED4AED68}" name="EXPECTED" dataDxfId="21"/>
    <tableColumn id="4" xr3:uid="{ECA860BF-B4EF-447D-8E30-D58969951737}" name="PREDICTED" dataDxfId="20"/>
    <tableColumn id="5" xr3:uid="{1019014D-911C-4E38-8955-2BEF493090C4}" name="CONFIDENCE" dataDxfId="19"/>
    <tableColumn id="6" xr3:uid="{5885523D-3311-4837-86DF-60CC11867FD5}" name="CORRECT?" dataDxfId="1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E54128-1341-4748-9CCA-EB926A8CD297}" name="Table27" displayName="Table27" ref="B47:E51" totalsRowShown="0" headerRowDxfId="17" dataDxfId="15" headerRowBorderDxfId="16" tableBorderDxfId="14" totalsRowBorderDxfId="13">
  <autoFilter ref="B47:E51" xr:uid="{76E54128-1341-4748-9CCA-EB926A8CD297}"/>
  <tableColumns count="4">
    <tableColumn id="1" xr3:uid="{4D4B821C-9639-4856-9B39-0650EEBE9AEF}" name="-" dataDxfId="12"/>
    <tableColumn id="2" xr3:uid="{EBB54354-4C13-48CF-9996-B3B608877EAA}" name="TOTAL TEST CASES" dataDxfId="11"/>
    <tableColumn id="3" xr3:uid="{FA239DC0-1FDB-4417-BCDB-EE0B4323910E}" name="CORRECT TEST" dataDxfId="10"/>
    <tableColumn id="4" xr3:uid="{AA94D265-91DC-4EBF-811C-E0A6CFFB1D7B}" name="ACCURACY" dataDxfId="9">
      <calculatedColumnFormula>Table27[[#This Row],[CORRECT TEST]]/Table27[[#This Row],[TOTAL TEST CASES]]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D66635-06FB-4314-9676-89F0102CB454}" name="Table278" displayName="Table278" ref="B75:E79" totalsRowShown="0" headerRowDxfId="8" dataDxfId="6" headerRowBorderDxfId="7" tableBorderDxfId="5" totalsRowBorderDxfId="4">
  <autoFilter ref="B75:E79" xr:uid="{4FD66635-06FB-4314-9676-89F0102CB454}"/>
  <tableColumns count="4">
    <tableColumn id="1" xr3:uid="{3F827F69-BE19-442D-8B43-C8B319F1B0D0}" name="-" dataDxfId="3"/>
    <tableColumn id="2" xr3:uid="{95E1A87A-9209-4E51-AFF3-E4EF4AE11EEC}" name="TOTAL TEST CASES" dataDxfId="2"/>
    <tableColumn id="3" xr3:uid="{B43F7818-BF84-4A93-8534-727336FE9B48}" name="CORRECT TEST" dataDxfId="1"/>
    <tableColumn id="4" xr3:uid="{D3006427-64DF-4EE2-856C-0F73D3E31D1E}" name="ACCURACY" dataDxfId="0">
      <calculatedColumnFormula>Table278[[#This Row],[CORRECT TEST]]/Table278[[#This Row],[TOTAL TEST CASES]]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8C9C-5689-4CF5-B11A-0DA30D112655}">
  <dimension ref="A1:I81"/>
  <sheetViews>
    <sheetView tabSelected="1" topLeftCell="A6" zoomScale="115" zoomScaleNormal="115" workbookViewId="0">
      <selection activeCell="B27" sqref="B27"/>
    </sheetView>
  </sheetViews>
  <sheetFormatPr defaultRowHeight="15.75" x14ac:dyDescent="0.25"/>
  <cols>
    <col min="1" max="1" width="35.7109375" style="25" customWidth="1"/>
    <col min="2" max="2" width="60.7109375" style="25" customWidth="1"/>
    <col min="3" max="3" width="40.140625" style="25" customWidth="1"/>
    <col min="4" max="4" width="21.42578125" style="25" customWidth="1"/>
    <col min="5" max="5" width="16.85546875" style="25" customWidth="1"/>
    <col min="6" max="6" width="14.140625" style="25" customWidth="1"/>
    <col min="7" max="7" width="9.140625" style="21"/>
    <col min="8" max="8" width="69" style="21" customWidth="1"/>
    <col min="9" max="9" width="25.5703125" style="21" customWidth="1"/>
    <col min="10" max="16384" width="9.140625" style="21"/>
  </cols>
  <sheetData>
    <row r="1" spans="1:9" x14ac:dyDescent="0.25">
      <c r="A1" s="46" t="s">
        <v>0</v>
      </c>
      <c r="B1" s="47" t="s">
        <v>5</v>
      </c>
      <c r="C1" s="47" t="s">
        <v>1</v>
      </c>
      <c r="D1" s="47" t="s">
        <v>2</v>
      </c>
      <c r="E1" s="47" t="s">
        <v>3</v>
      </c>
      <c r="F1" s="48" t="s">
        <v>4</v>
      </c>
    </row>
    <row r="2" spans="1:9" ht="31.5" x14ac:dyDescent="0.25">
      <c r="A2" s="29">
        <v>1</v>
      </c>
      <c r="B2" s="9" t="s">
        <v>6</v>
      </c>
      <c r="C2" s="9" t="s">
        <v>7</v>
      </c>
      <c r="D2" s="9" t="s">
        <v>7</v>
      </c>
      <c r="E2" s="30">
        <v>0.72</v>
      </c>
      <c r="F2" s="31" t="s">
        <v>20</v>
      </c>
      <c r="H2" s="22" t="s">
        <v>29</v>
      </c>
      <c r="I2" s="24" t="s">
        <v>32</v>
      </c>
    </row>
    <row r="3" spans="1:9" x14ac:dyDescent="0.25">
      <c r="A3" s="29">
        <v>2</v>
      </c>
      <c r="B3" s="9" t="s">
        <v>8</v>
      </c>
      <c r="C3" s="9" t="s">
        <v>7</v>
      </c>
      <c r="D3" s="9" t="s">
        <v>7</v>
      </c>
      <c r="E3" s="30">
        <v>0.81</v>
      </c>
      <c r="F3" s="31" t="s">
        <v>20</v>
      </c>
      <c r="H3" s="22" t="s">
        <v>30</v>
      </c>
      <c r="I3" s="22" t="s">
        <v>47</v>
      </c>
    </row>
    <row r="4" spans="1:9" x14ac:dyDescent="0.25">
      <c r="A4" s="29">
        <v>3</v>
      </c>
      <c r="B4" s="9" t="s">
        <v>9</v>
      </c>
      <c r="C4" s="9" t="s">
        <v>7</v>
      </c>
      <c r="D4" s="9" t="s">
        <v>7</v>
      </c>
      <c r="E4" s="30">
        <v>0.9</v>
      </c>
      <c r="F4" s="31" t="s">
        <v>20</v>
      </c>
      <c r="H4" s="22" t="s">
        <v>31</v>
      </c>
      <c r="I4" s="22" t="s">
        <v>48</v>
      </c>
    </row>
    <row r="5" spans="1:9" x14ac:dyDescent="0.25">
      <c r="A5" s="29">
        <v>4</v>
      </c>
      <c r="B5" s="9" t="s">
        <v>10</v>
      </c>
      <c r="C5" s="9" t="s">
        <v>11</v>
      </c>
      <c r="D5" s="9" t="s">
        <v>11</v>
      </c>
      <c r="E5" s="30">
        <v>0.72</v>
      </c>
      <c r="F5" s="31" t="s">
        <v>20</v>
      </c>
    </row>
    <row r="6" spans="1:9" x14ac:dyDescent="0.25">
      <c r="A6" s="29">
        <v>5</v>
      </c>
      <c r="B6" s="9" t="s">
        <v>12</v>
      </c>
      <c r="C6" s="9" t="s">
        <v>11</v>
      </c>
      <c r="D6" s="9" t="s">
        <v>11</v>
      </c>
      <c r="E6" s="30">
        <v>0.74</v>
      </c>
      <c r="F6" s="31" t="s">
        <v>20</v>
      </c>
      <c r="H6" s="27" t="s">
        <v>37</v>
      </c>
    </row>
    <row r="7" spans="1:9" x14ac:dyDescent="0.25">
      <c r="A7" s="29">
        <v>6</v>
      </c>
      <c r="B7" s="9" t="s">
        <v>13</v>
      </c>
      <c r="C7" s="9" t="s">
        <v>11</v>
      </c>
      <c r="D7" s="9" t="s">
        <v>11</v>
      </c>
      <c r="E7" s="30">
        <v>0.84</v>
      </c>
      <c r="F7" s="31" t="s">
        <v>20</v>
      </c>
      <c r="H7" s="28" t="s">
        <v>35</v>
      </c>
    </row>
    <row r="8" spans="1:9" x14ac:dyDescent="0.25">
      <c r="A8" s="29">
        <v>7</v>
      </c>
      <c r="B8" s="9" t="s">
        <v>14</v>
      </c>
      <c r="C8" s="9" t="s">
        <v>15</v>
      </c>
      <c r="D8" s="9" t="s">
        <v>15</v>
      </c>
      <c r="E8" s="30">
        <v>0.98</v>
      </c>
      <c r="F8" s="31" t="s">
        <v>20</v>
      </c>
      <c r="H8" s="28" t="s">
        <v>36</v>
      </c>
    </row>
    <row r="9" spans="1:9" x14ac:dyDescent="0.25">
      <c r="A9" s="29">
        <v>8</v>
      </c>
      <c r="B9" s="9" t="s">
        <v>16</v>
      </c>
      <c r="C9" s="9" t="s">
        <v>15</v>
      </c>
      <c r="D9" s="9" t="s">
        <v>15</v>
      </c>
      <c r="E9" s="30">
        <v>0.86</v>
      </c>
      <c r="F9" s="31" t="s">
        <v>20</v>
      </c>
    </row>
    <row r="10" spans="1:9" x14ac:dyDescent="0.25">
      <c r="A10" s="29">
        <v>9</v>
      </c>
      <c r="B10" s="9" t="s">
        <v>17</v>
      </c>
      <c r="C10" s="9" t="s">
        <v>15</v>
      </c>
      <c r="D10" s="9" t="s">
        <v>15</v>
      </c>
      <c r="E10" s="30">
        <v>0.54</v>
      </c>
      <c r="F10" s="31" t="s">
        <v>20</v>
      </c>
    </row>
    <row r="11" spans="1:9" x14ac:dyDescent="0.25">
      <c r="A11" s="32">
        <v>10</v>
      </c>
      <c r="B11" s="3" t="s">
        <v>19</v>
      </c>
      <c r="C11" s="3" t="s">
        <v>11</v>
      </c>
      <c r="D11" s="9" t="s">
        <v>7</v>
      </c>
      <c r="E11" s="30">
        <v>0.56000000000000005</v>
      </c>
      <c r="F11" s="31" t="s">
        <v>21</v>
      </c>
    </row>
    <row r="12" spans="1:9" x14ac:dyDescent="0.25">
      <c r="A12" s="32">
        <v>11</v>
      </c>
      <c r="B12" s="33" t="s">
        <v>46</v>
      </c>
      <c r="C12" s="3" t="s">
        <v>11</v>
      </c>
      <c r="D12" s="3" t="s">
        <v>11</v>
      </c>
      <c r="E12" s="34">
        <v>0.75</v>
      </c>
      <c r="F12" s="31" t="s">
        <v>20</v>
      </c>
    </row>
    <row r="13" spans="1:9" x14ac:dyDescent="0.25">
      <c r="A13" s="32">
        <v>12</v>
      </c>
      <c r="B13" s="3" t="s">
        <v>45</v>
      </c>
      <c r="C13" s="3" t="s">
        <v>11</v>
      </c>
      <c r="D13" s="3" t="s">
        <v>11</v>
      </c>
      <c r="E13" s="34">
        <v>0.54</v>
      </c>
      <c r="F13" s="31" t="s">
        <v>20</v>
      </c>
    </row>
    <row r="14" spans="1:9" x14ac:dyDescent="0.25">
      <c r="A14" s="32">
        <v>13</v>
      </c>
      <c r="B14" s="3" t="s">
        <v>26</v>
      </c>
      <c r="C14" s="3" t="s">
        <v>28</v>
      </c>
      <c r="D14" s="3" t="s">
        <v>15</v>
      </c>
      <c r="E14" s="34">
        <v>0.9</v>
      </c>
      <c r="F14" s="31" t="s">
        <v>27</v>
      </c>
    </row>
    <row r="15" spans="1:9" x14ac:dyDescent="0.25">
      <c r="A15" s="32">
        <v>14</v>
      </c>
      <c r="B15" s="3" t="s">
        <v>43</v>
      </c>
      <c r="C15" s="3" t="s">
        <v>28</v>
      </c>
      <c r="D15" s="3" t="s">
        <v>15</v>
      </c>
      <c r="E15" s="34">
        <v>0.86</v>
      </c>
      <c r="F15" s="31" t="s">
        <v>27</v>
      </c>
    </row>
    <row r="16" spans="1:9" x14ac:dyDescent="0.25">
      <c r="A16" s="35">
        <v>15</v>
      </c>
      <c r="B16" s="36" t="s">
        <v>44</v>
      </c>
      <c r="C16" s="36" t="s">
        <v>28</v>
      </c>
      <c r="D16" s="36" t="s">
        <v>15</v>
      </c>
      <c r="E16" s="37">
        <v>0.08</v>
      </c>
      <c r="F16" s="38" t="s">
        <v>27</v>
      </c>
    </row>
    <row r="17" spans="1:9" x14ac:dyDescent="0.25">
      <c r="A17" s="16"/>
      <c r="B17" s="16"/>
      <c r="C17" s="16"/>
      <c r="D17" s="16"/>
      <c r="E17" s="16"/>
      <c r="F17" s="16"/>
    </row>
    <row r="18" spans="1:9" x14ac:dyDescent="0.25">
      <c r="A18" s="16"/>
      <c r="B18" s="16"/>
      <c r="C18" s="16"/>
      <c r="D18" s="16"/>
      <c r="E18" s="16"/>
      <c r="F18" s="16"/>
    </row>
    <row r="19" spans="1:9" x14ac:dyDescent="0.25">
      <c r="A19" s="16"/>
      <c r="B19" s="53" t="s">
        <v>24</v>
      </c>
      <c r="C19" s="54" t="s">
        <v>22</v>
      </c>
      <c r="D19" s="54" t="s">
        <v>25</v>
      </c>
      <c r="E19" s="54" t="s">
        <v>23</v>
      </c>
      <c r="F19" s="16"/>
    </row>
    <row r="20" spans="1:9" x14ac:dyDescent="0.25">
      <c r="A20" s="16"/>
      <c r="B20" s="51" t="s">
        <v>7</v>
      </c>
      <c r="C20" s="40">
        <f>COUNTIF($C$2:$C$16,"Positive_Praise")</f>
        <v>3</v>
      </c>
      <c r="D20" s="41">
        <f>COUNTIFS($C$2:$C$16,"Positive_Praise",$F$2:$F$16,"Yes")</f>
        <v>3</v>
      </c>
      <c r="E20" s="42">
        <f>Table2[[#This Row],[CORRECT TEST]]/Table2[[#This Row],[TOTAL TEST CASES]]</f>
        <v>1</v>
      </c>
      <c r="F20" s="16"/>
    </row>
    <row r="21" spans="1:9" x14ac:dyDescent="0.25">
      <c r="A21" s="16"/>
      <c r="B21" s="52" t="s">
        <v>11</v>
      </c>
      <c r="C21" s="40">
        <f>COUNTIF($C$2:$C$16,"Negative_Complaint")</f>
        <v>6</v>
      </c>
      <c r="D21" s="41">
        <f>COUNTIFS($C$2:$C$16,"Negative_Complaint",$F$2:$F$16,"Yes")</f>
        <v>5</v>
      </c>
      <c r="E21" s="42">
        <f>Table2[[#This Row],[CORRECT TEST]]/Table2[[#This Row],[TOTAL TEST CASES]]</f>
        <v>0.83333333333333337</v>
      </c>
      <c r="F21" s="17"/>
    </row>
    <row r="22" spans="1:9" x14ac:dyDescent="0.25">
      <c r="A22" s="16"/>
      <c r="B22" s="52" t="s">
        <v>15</v>
      </c>
      <c r="C22" s="40">
        <v>3</v>
      </c>
      <c r="D22" s="55">
        <v>3</v>
      </c>
      <c r="E22" s="42">
        <f>Table2[[#This Row],[CORRECT TEST]]/Table2[[#This Row],[TOTAL TEST CASES]]</f>
        <v>1</v>
      </c>
      <c r="F22" s="17"/>
    </row>
    <row r="23" spans="1:9" x14ac:dyDescent="0.25">
      <c r="A23" s="16"/>
      <c r="B23" s="44" t="s">
        <v>28</v>
      </c>
      <c r="C23" s="45">
        <v>3</v>
      </c>
      <c r="D23" s="45" t="s">
        <v>33</v>
      </c>
      <c r="E23" s="45" t="s">
        <v>33</v>
      </c>
      <c r="F23" s="17"/>
    </row>
    <row r="24" spans="1:9" x14ac:dyDescent="0.25">
      <c r="A24" s="16"/>
      <c r="B24" s="16"/>
      <c r="C24" s="16"/>
      <c r="D24" s="16"/>
      <c r="E24" s="16"/>
      <c r="F24" s="16"/>
    </row>
    <row r="25" spans="1:9" x14ac:dyDescent="0.25">
      <c r="A25" s="16"/>
      <c r="B25" s="16"/>
      <c r="C25" s="16"/>
      <c r="D25" s="16"/>
      <c r="E25" s="16"/>
      <c r="F25" s="16"/>
    </row>
    <row r="26" spans="1:9" x14ac:dyDescent="0.25">
      <c r="A26" s="16"/>
      <c r="B26" s="16"/>
      <c r="C26" s="16"/>
      <c r="D26" s="16"/>
      <c r="E26" s="16"/>
      <c r="F26" s="16"/>
    </row>
    <row r="27" spans="1:9" x14ac:dyDescent="0.25">
      <c r="A27" s="16"/>
      <c r="B27" s="15"/>
      <c r="C27" s="16"/>
      <c r="D27" s="16"/>
      <c r="E27" s="16"/>
      <c r="F27" s="16"/>
    </row>
    <row r="28" spans="1:9" x14ac:dyDescent="0.25">
      <c r="A28" s="16"/>
      <c r="B28" s="16"/>
      <c r="C28" s="16"/>
      <c r="D28" s="16"/>
      <c r="E28" s="16"/>
      <c r="F28" s="16"/>
    </row>
    <row r="29" spans="1:9" x14ac:dyDescent="0.25">
      <c r="A29" s="15" t="s">
        <v>49</v>
      </c>
      <c r="B29" s="16"/>
      <c r="C29" s="16"/>
      <c r="D29" s="16"/>
      <c r="E29" s="16"/>
      <c r="F29" s="16"/>
    </row>
    <row r="30" spans="1:9" x14ac:dyDescent="0.25">
      <c r="A30" s="46" t="s">
        <v>0</v>
      </c>
      <c r="B30" s="47" t="s">
        <v>5</v>
      </c>
      <c r="C30" s="47" t="s">
        <v>1</v>
      </c>
      <c r="D30" s="47" t="s">
        <v>2</v>
      </c>
      <c r="E30" s="47" t="s">
        <v>3</v>
      </c>
      <c r="F30" s="48" t="s">
        <v>4</v>
      </c>
      <c r="H30" s="22" t="s">
        <v>34</v>
      </c>
    </row>
    <row r="31" spans="1:9" ht="31.5" x14ac:dyDescent="0.25">
      <c r="A31" s="6">
        <v>1</v>
      </c>
      <c r="B31" s="9" t="s">
        <v>6</v>
      </c>
      <c r="C31" s="9" t="s">
        <v>7</v>
      </c>
      <c r="D31" s="3" t="s">
        <v>11</v>
      </c>
      <c r="E31" s="7">
        <v>0.78</v>
      </c>
      <c r="F31" s="8" t="s">
        <v>21</v>
      </c>
      <c r="H31" s="22" t="s">
        <v>29</v>
      </c>
      <c r="I31" s="24" t="s">
        <v>32</v>
      </c>
    </row>
    <row r="32" spans="1:9" x14ac:dyDescent="0.25">
      <c r="A32" s="6">
        <v>2</v>
      </c>
      <c r="B32" s="9" t="s">
        <v>8</v>
      </c>
      <c r="C32" s="9" t="s">
        <v>7</v>
      </c>
      <c r="D32" s="9" t="s">
        <v>7</v>
      </c>
      <c r="E32" s="7">
        <v>0.75</v>
      </c>
      <c r="F32" s="8" t="s">
        <v>20</v>
      </c>
      <c r="H32" s="22" t="s">
        <v>30</v>
      </c>
      <c r="I32" s="22" t="s">
        <v>47</v>
      </c>
    </row>
    <row r="33" spans="1:9" x14ac:dyDescent="0.25">
      <c r="A33" s="6">
        <v>3</v>
      </c>
      <c r="B33" s="9" t="s">
        <v>9</v>
      </c>
      <c r="C33" s="9" t="s">
        <v>7</v>
      </c>
      <c r="D33" s="9" t="s">
        <v>7</v>
      </c>
      <c r="E33" s="7">
        <v>0.86</v>
      </c>
      <c r="F33" s="8" t="s">
        <v>20</v>
      </c>
      <c r="H33" s="22" t="s">
        <v>31</v>
      </c>
      <c r="I33" s="22" t="s">
        <v>48</v>
      </c>
    </row>
    <row r="34" spans="1:9" x14ac:dyDescent="0.25">
      <c r="A34" s="6">
        <v>4</v>
      </c>
      <c r="B34" s="9" t="s">
        <v>10</v>
      </c>
      <c r="C34" s="9" t="s">
        <v>11</v>
      </c>
      <c r="D34" s="9" t="s">
        <v>11</v>
      </c>
      <c r="E34" s="7">
        <v>0.74</v>
      </c>
      <c r="F34" s="8" t="s">
        <v>20</v>
      </c>
    </row>
    <row r="35" spans="1:9" x14ac:dyDescent="0.25">
      <c r="A35" s="6">
        <v>5</v>
      </c>
      <c r="B35" s="9" t="s">
        <v>12</v>
      </c>
      <c r="C35" s="9" t="s">
        <v>11</v>
      </c>
      <c r="D35" s="9" t="s">
        <v>11</v>
      </c>
      <c r="E35" s="7">
        <v>0.8</v>
      </c>
      <c r="F35" s="8" t="s">
        <v>20</v>
      </c>
      <c r="H35" s="27" t="s">
        <v>37</v>
      </c>
    </row>
    <row r="36" spans="1:9" x14ac:dyDescent="0.25">
      <c r="A36" s="1">
        <v>6</v>
      </c>
      <c r="B36" s="9" t="s">
        <v>13</v>
      </c>
      <c r="C36" s="9" t="s">
        <v>11</v>
      </c>
      <c r="D36" s="9" t="s">
        <v>11</v>
      </c>
      <c r="E36" s="4">
        <v>0.83</v>
      </c>
      <c r="F36" s="5" t="s">
        <v>20</v>
      </c>
      <c r="H36" s="28" t="s">
        <v>38</v>
      </c>
    </row>
    <row r="37" spans="1:9" x14ac:dyDescent="0.25">
      <c r="A37" s="1">
        <v>7</v>
      </c>
      <c r="B37" s="9" t="s">
        <v>14</v>
      </c>
      <c r="C37" s="9" t="s">
        <v>15</v>
      </c>
      <c r="D37" s="9" t="s">
        <v>15</v>
      </c>
      <c r="E37" s="4">
        <v>0.98</v>
      </c>
      <c r="F37" s="5" t="s">
        <v>20</v>
      </c>
      <c r="H37" s="28" t="s">
        <v>39</v>
      </c>
    </row>
    <row r="38" spans="1:9" x14ac:dyDescent="0.25">
      <c r="A38" s="1">
        <v>8</v>
      </c>
      <c r="B38" s="9" t="s">
        <v>16</v>
      </c>
      <c r="C38" s="9" t="s">
        <v>15</v>
      </c>
      <c r="D38" s="9" t="s">
        <v>15</v>
      </c>
      <c r="E38" s="4">
        <v>0.87</v>
      </c>
      <c r="F38" s="5" t="s">
        <v>20</v>
      </c>
    </row>
    <row r="39" spans="1:9" x14ac:dyDescent="0.25">
      <c r="A39" s="11">
        <v>9</v>
      </c>
      <c r="B39" s="9" t="s">
        <v>17</v>
      </c>
      <c r="C39" s="39" t="s">
        <v>15</v>
      </c>
      <c r="D39" s="39" t="s">
        <v>15</v>
      </c>
      <c r="E39" s="14">
        <v>0.3</v>
      </c>
      <c r="F39" s="13" t="s">
        <v>20</v>
      </c>
    </row>
    <row r="40" spans="1:9" x14ac:dyDescent="0.25">
      <c r="A40" s="1">
        <v>10</v>
      </c>
      <c r="B40" s="2" t="s">
        <v>18</v>
      </c>
      <c r="C40" s="3" t="s">
        <v>11</v>
      </c>
      <c r="D40" s="3" t="s">
        <v>11</v>
      </c>
      <c r="E40" s="4">
        <v>1</v>
      </c>
      <c r="F40" s="5" t="s">
        <v>20</v>
      </c>
    </row>
    <row r="41" spans="1:9" x14ac:dyDescent="0.25">
      <c r="A41" s="1">
        <v>11</v>
      </c>
      <c r="B41" s="49" t="s">
        <v>46</v>
      </c>
      <c r="C41" s="3" t="s">
        <v>11</v>
      </c>
      <c r="D41" s="3" t="s">
        <v>11</v>
      </c>
      <c r="E41" s="4">
        <v>0.94</v>
      </c>
      <c r="F41" s="13" t="s">
        <v>20</v>
      </c>
    </row>
    <row r="42" spans="1:9" x14ac:dyDescent="0.25">
      <c r="A42" s="1">
        <v>12</v>
      </c>
      <c r="B42" s="3" t="s">
        <v>45</v>
      </c>
      <c r="C42" s="3" t="s">
        <v>11</v>
      </c>
      <c r="D42" s="3" t="s">
        <v>11</v>
      </c>
      <c r="E42" s="4">
        <v>0.9</v>
      </c>
      <c r="F42" s="13" t="s">
        <v>20</v>
      </c>
    </row>
    <row r="43" spans="1:9" x14ac:dyDescent="0.25">
      <c r="A43" s="1">
        <v>13</v>
      </c>
      <c r="B43" s="9" t="s">
        <v>26</v>
      </c>
      <c r="C43" s="9" t="s">
        <v>28</v>
      </c>
      <c r="D43" s="10" t="s">
        <v>15</v>
      </c>
      <c r="E43" s="4">
        <v>0.73</v>
      </c>
      <c r="F43" s="5" t="s">
        <v>33</v>
      </c>
    </row>
    <row r="44" spans="1:9" x14ac:dyDescent="0.25">
      <c r="A44" s="1">
        <v>14</v>
      </c>
      <c r="B44" s="9" t="s">
        <v>43</v>
      </c>
      <c r="C44" s="9" t="s">
        <v>28</v>
      </c>
      <c r="D44" s="10" t="s">
        <v>15</v>
      </c>
      <c r="E44" s="4">
        <v>0.89</v>
      </c>
      <c r="F44" s="5" t="s">
        <v>33</v>
      </c>
    </row>
    <row r="45" spans="1:9" x14ac:dyDescent="0.25">
      <c r="A45" s="11">
        <v>15</v>
      </c>
      <c r="B45" s="39" t="s">
        <v>44</v>
      </c>
      <c r="C45" s="39" t="s">
        <v>28</v>
      </c>
      <c r="D45" s="12" t="s">
        <v>15</v>
      </c>
      <c r="E45" s="14">
        <v>0.1</v>
      </c>
      <c r="F45" s="13" t="s">
        <v>33</v>
      </c>
    </row>
    <row r="46" spans="1:9" x14ac:dyDescent="0.25">
      <c r="A46" s="16"/>
      <c r="B46" s="16"/>
      <c r="C46" s="16"/>
      <c r="D46" s="16"/>
      <c r="E46" s="16"/>
      <c r="F46" s="16"/>
    </row>
    <row r="47" spans="1:9" x14ac:dyDescent="0.25">
      <c r="A47" s="15"/>
      <c r="B47" s="26" t="s">
        <v>24</v>
      </c>
      <c r="C47" s="26" t="s">
        <v>22</v>
      </c>
      <c r="D47" s="26" t="s">
        <v>25</v>
      </c>
      <c r="E47" s="26" t="s">
        <v>23</v>
      </c>
      <c r="F47" s="16"/>
    </row>
    <row r="48" spans="1:9" x14ac:dyDescent="0.25">
      <c r="A48" s="18"/>
      <c r="B48" s="40" t="s">
        <v>7</v>
      </c>
      <c r="C48" s="56">
        <f>COUNTIF($C$31:$C$45,"Positive_Praise")</f>
        <v>3</v>
      </c>
      <c r="D48" s="57">
        <f>COUNTIFS($C$31:$C$45,"Positive_Praise",$F$31:$F$45,"Yes")</f>
        <v>2</v>
      </c>
      <c r="E48" s="42">
        <f>Table27[[#This Row],[CORRECT TEST]]/Table27[[#This Row],[TOTAL TEST CASES]]</f>
        <v>0.66666666666666663</v>
      </c>
      <c r="F48" s="18"/>
    </row>
    <row r="49" spans="1:9" x14ac:dyDescent="0.25">
      <c r="A49" s="16"/>
      <c r="B49" s="43" t="s">
        <v>11</v>
      </c>
      <c r="C49" s="56">
        <f>COUNTIF($C$31:$C$45,"Negative_Complaint")</f>
        <v>6</v>
      </c>
      <c r="D49" s="57">
        <f>COUNTIFS($C$31:$C$45,"Negative_Complaint",$F$31:$F$45,"Yes")</f>
        <v>6</v>
      </c>
      <c r="E49" s="42">
        <f>Table27[[#This Row],[CORRECT TEST]]/Table27[[#This Row],[TOTAL TEST CASES]]</f>
        <v>1</v>
      </c>
      <c r="F49" s="16"/>
    </row>
    <row r="50" spans="1:9" x14ac:dyDescent="0.25">
      <c r="A50" s="16"/>
      <c r="B50" s="43" t="s">
        <v>15</v>
      </c>
      <c r="C50" s="56">
        <f>COUNTIF($C$31:$C$45,"Urgent_Support")</f>
        <v>3</v>
      </c>
      <c r="D50" s="57">
        <f>COUNTIFS($C$31:$C$45,"Urgent_Support",$F$31:$F$45,"Yes")</f>
        <v>3</v>
      </c>
      <c r="E50" s="42">
        <f>Table27[[#This Row],[CORRECT TEST]]/Table27[[#This Row],[TOTAL TEST CASES]]</f>
        <v>1</v>
      </c>
      <c r="F50" s="16"/>
      <c r="H50" s="22"/>
    </row>
    <row r="51" spans="1:9" x14ac:dyDescent="0.25">
      <c r="A51" s="17"/>
      <c r="B51" s="44" t="s">
        <v>28</v>
      </c>
      <c r="C51" s="45">
        <v>3</v>
      </c>
      <c r="D51" s="45" t="s">
        <v>33</v>
      </c>
      <c r="E51" s="45" t="s">
        <v>33</v>
      </c>
      <c r="F51" s="17"/>
    </row>
    <row r="52" spans="1:9" x14ac:dyDescent="0.25">
      <c r="A52" s="16"/>
      <c r="B52" s="16"/>
      <c r="C52" s="16"/>
      <c r="D52" s="16"/>
      <c r="E52" s="16"/>
      <c r="F52" s="16"/>
    </row>
    <row r="53" spans="1:9" x14ac:dyDescent="0.25">
      <c r="A53" s="16"/>
      <c r="B53" s="16"/>
      <c r="C53" s="16"/>
      <c r="D53" s="16"/>
      <c r="E53" s="16"/>
      <c r="F53" s="16"/>
    </row>
    <row r="54" spans="1:9" x14ac:dyDescent="0.25">
      <c r="A54" s="16"/>
      <c r="B54" s="16"/>
      <c r="C54" s="16"/>
      <c r="D54" s="16"/>
      <c r="E54" s="16"/>
      <c r="F54" s="16"/>
    </row>
    <row r="55" spans="1:9" x14ac:dyDescent="0.25">
      <c r="A55" s="17"/>
      <c r="B55" s="20"/>
      <c r="C55" s="20"/>
      <c r="D55" s="20"/>
      <c r="E55" s="19"/>
      <c r="F55" s="17"/>
      <c r="H55" s="22"/>
    </row>
    <row r="56" spans="1:9" x14ac:dyDescent="0.25">
      <c r="A56" s="15" t="s">
        <v>40</v>
      </c>
      <c r="B56" s="16"/>
      <c r="C56" s="16"/>
      <c r="D56" s="16"/>
      <c r="E56" s="16"/>
      <c r="F56" s="16"/>
    </row>
    <row r="57" spans="1:9" x14ac:dyDescent="0.25">
      <c r="A57" s="46" t="s">
        <v>0</v>
      </c>
      <c r="B57" s="47" t="s">
        <v>5</v>
      </c>
      <c r="C57" s="47" t="s">
        <v>1</v>
      </c>
      <c r="D57" s="47" t="s">
        <v>2</v>
      </c>
      <c r="E57" s="47" t="s">
        <v>3</v>
      </c>
      <c r="F57" s="48" t="s">
        <v>4</v>
      </c>
    </row>
    <row r="58" spans="1:9" ht="31.5" x14ac:dyDescent="0.25">
      <c r="A58" s="6">
        <v>1</v>
      </c>
      <c r="B58" s="9" t="s">
        <v>6</v>
      </c>
      <c r="C58" s="9" t="s">
        <v>7</v>
      </c>
      <c r="D58" s="3" t="s">
        <v>11</v>
      </c>
      <c r="E58" s="7">
        <v>0.74</v>
      </c>
      <c r="F58" s="8" t="s">
        <v>21</v>
      </c>
      <c r="H58" s="23"/>
    </row>
    <row r="59" spans="1:9" x14ac:dyDescent="0.25">
      <c r="A59" s="6">
        <v>2</v>
      </c>
      <c r="B59" s="9" t="s">
        <v>8</v>
      </c>
      <c r="C59" s="9" t="s">
        <v>7</v>
      </c>
      <c r="D59" s="9" t="s">
        <v>7</v>
      </c>
      <c r="E59" s="7">
        <v>0.75</v>
      </c>
      <c r="F59" s="8" t="s">
        <v>20</v>
      </c>
      <c r="H59" s="22" t="s">
        <v>41</v>
      </c>
    </row>
    <row r="60" spans="1:9" x14ac:dyDescent="0.25">
      <c r="A60" s="6">
        <v>3</v>
      </c>
      <c r="B60" s="9" t="s">
        <v>9</v>
      </c>
      <c r="C60" s="9" t="s">
        <v>7</v>
      </c>
      <c r="D60" s="9" t="s">
        <v>7</v>
      </c>
      <c r="E60" s="7">
        <v>0.89</v>
      </c>
      <c r="F60" s="8" t="s">
        <v>20</v>
      </c>
      <c r="H60" s="22" t="s">
        <v>29</v>
      </c>
      <c r="I60" s="24" t="s">
        <v>32</v>
      </c>
    </row>
    <row r="61" spans="1:9" x14ac:dyDescent="0.25">
      <c r="A61" s="6">
        <v>4</v>
      </c>
      <c r="B61" s="9" t="s">
        <v>10</v>
      </c>
      <c r="C61" s="9" t="s">
        <v>11</v>
      </c>
      <c r="D61" s="9" t="s">
        <v>11</v>
      </c>
      <c r="E61" s="7">
        <v>0.87</v>
      </c>
      <c r="F61" s="8" t="s">
        <v>20</v>
      </c>
      <c r="H61" s="22" t="s">
        <v>30</v>
      </c>
      <c r="I61" s="22" t="s">
        <v>47</v>
      </c>
    </row>
    <row r="62" spans="1:9" x14ac:dyDescent="0.25">
      <c r="A62" s="6">
        <v>5</v>
      </c>
      <c r="B62" s="9" t="s">
        <v>12</v>
      </c>
      <c r="C62" s="9" t="s">
        <v>11</v>
      </c>
      <c r="D62" s="9" t="s">
        <v>11</v>
      </c>
      <c r="E62" s="7">
        <v>0.8</v>
      </c>
      <c r="F62" s="8" t="s">
        <v>20</v>
      </c>
      <c r="H62" s="22" t="s">
        <v>31</v>
      </c>
      <c r="I62" s="22" t="s">
        <v>48</v>
      </c>
    </row>
    <row r="63" spans="1:9" x14ac:dyDescent="0.25">
      <c r="A63" s="1">
        <v>6</v>
      </c>
      <c r="B63" s="9" t="s">
        <v>13</v>
      </c>
      <c r="C63" s="9" t="s">
        <v>11</v>
      </c>
      <c r="D63" s="9" t="s">
        <v>11</v>
      </c>
      <c r="E63" s="4">
        <v>0.84</v>
      </c>
      <c r="F63" s="5" t="s">
        <v>20</v>
      </c>
    </row>
    <row r="64" spans="1:9" x14ac:dyDescent="0.25">
      <c r="A64" s="1">
        <v>7</v>
      </c>
      <c r="B64" s="9" t="s">
        <v>14</v>
      </c>
      <c r="C64" s="9" t="s">
        <v>15</v>
      </c>
      <c r="D64" s="9" t="s">
        <v>15</v>
      </c>
      <c r="E64" s="4">
        <v>0.98</v>
      </c>
      <c r="F64" s="5" t="s">
        <v>20</v>
      </c>
      <c r="H64" s="27" t="s">
        <v>42</v>
      </c>
    </row>
    <row r="65" spans="1:8" x14ac:dyDescent="0.25">
      <c r="A65" s="1">
        <v>8</v>
      </c>
      <c r="B65" s="9" t="s">
        <v>16</v>
      </c>
      <c r="C65" s="9" t="s">
        <v>15</v>
      </c>
      <c r="D65" s="9" t="s">
        <v>15</v>
      </c>
      <c r="E65" s="4">
        <v>0.87</v>
      </c>
      <c r="F65" s="5" t="s">
        <v>20</v>
      </c>
      <c r="H65" s="28" t="s">
        <v>38</v>
      </c>
    </row>
    <row r="66" spans="1:8" x14ac:dyDescent="0.25">
      <c r="A66" s="11">
        <v>9</v>
      </c>
      <c r="B66" s="9" t="s">
        <v>17</v>
      </c>
      <c r="C66" s="9" t="s">
        <v>15</v>
      </c>
      <c r="D66" s="9" t="s">
        <v>15</v>
      </c>
      <c r="E66" s="14">
        <v>0.31</v>
      </c>
      <c r="F66" s="13" t="s">
        <v>20</v>
      </c>
      <c r="H66" s="28" t="s">
        <v>39</v>
      </c>
    </row>
    <row r="67" spans="1:8" x14ac:dyDescent="0.25">
      <c r="A67" s="1">
        <v>10</v>
      </c>
      <c r="B67" s="2" t="s">
        <v>18</v>
      </c>
      <c r="C67" s="3" t="s">
        <v>11</v>
      </c>
      <c r="D67" s="3" t="s">
        <v>11</v>
      </c>
      <c r="E67" s="4">
        <v>1</v>
      </c>
      <c r="F67" s="5" t="s">
        <v>20</v>
      </c>
    </row>
    <row r="68" spans="1:8" x14ac:dyDescent="0.25">
      <c r="A68" s="1">
        <v>11</v>
      </c>
      <c r="B68" s="50" t="s">
        <v>46</v>
      </c>
      <c r="C68" s="3" t="s">
        <v>11</v>
      </c>
      <c r="D68" s="3" t="s">
        <v>11</v>
      </c>
      <c r="E68" s="4">
        <v>1</v>
      </c>
      <c r="F68" s="13" t="s">
        <v>20</v>
      </c>
    </row>
    <row r="69" spans="1:8" x14ac:dyDescent="0.25">
      <c r="A69" s="1">
        <v>12</v>
      </c>
      <c r="B69" s="3" t="s">
        <v>45</v>
      </c>
      <c r="C69" s="3" t="s">
        <v>11</v>
      </c>
      <c r="D69" s="3" t="s">
        <v>11</v>
      </c>
      <c r="E69" s="4">
        <v>1</v>
      </c>
      <c r="F69" s="13" t="s">
        <v>20</v>
      </c>
    </row>
    <row r="70" spans="1:8" x14ac:dyDescent="0.25">
      <c r="A70" s="1">
        <v>13</v>
      </c>
      <c r="B70" s="9" t="s">
        <v>26</v>
      </c>
      <c r="C70" s="9" t="s">
        <v>28</v>
      </c>
      <c r="D70" s="10" t="s">
        <v>15</v>
      </c>
      <c r="E70" s="4">
        <v>0.73</v>
      </c>
      <c r="F70" s="5" t="s">
        <v>27</v>
      </c>
    </row>
    <row r="71" spans="1:8" x14ac:dyDescent="0.25">
      <c r="A71" s="1">
        <v>14</v>
      </c>
      <c r="B71" s="9" t="s">
        <v>43</v>
      </c>
      <c r="C71" s="9" t="s">
        <v>28</v>
      </c>
      <c r="D71" s="10" t="s">
        <v>15</v>
      </c>
      <c r="E71" s="4">
        <v>0.88</v>
      </c>
      <c r="F71" s="5" t="s">
        <v>27</v>
      </c>
    </row>
    <row r="72" spans="1:8" x14ac:dyDescent="0.25">
      <c r="A72" s="11">
        <v>15</v>
      </c>
      <c r="B72" s="9" t="s">
        <v>44</v>
      </c>
      <c r="C72" s="9" t="s">
        <v>28</v>
      </c>
      <c r="D72" s="10" t="s">
        <v>15</v>
      </c>
      <c r="E72" s="14">
        <v>0.11</v>
      </c>
      <c r="F72" s="5" t="s">
        <v>27</v>
      </c>
    </row>
    <row r="73" spans="1:8" x14ac:dyDescent="0.25">
      <c r="A73" s="16"/>
      <c r="B73" s="16"/>
      <c r="C73" s="16"/>
      <c r="D73" s="16"/>
      <c r="E73" s="16"/>
      <c r="F73" s="16"/>
    </row>
    <row r="74" spans="1:8" x14ac:dyDescent="0.25">
      <c r="A74" s="16"/>
      <c r="B74" s="16"/>
      <c r="C74" s="16"/>
      <c r="D74" s="16"/>
      <c r="E74" s="16"/>
      <c r="F74" s="16"/>
    </row>
    <row r="75" spans="1:8" x14ac:dyDescent="0.25">
      <c r="A75" s="16"/>
      <c r="B75" s="26" t="s">
        <v>24</v>
      </c>
      <c r="C75" s="26" t="s">
        <v>22</v>
      </c>
      <c r="D75" s="26" t="s">
        <v>25</v>
      </c>
      <c r="E75" s="26" t="s">
        <v>23</v>
      </c>
      <c r="F75" s="16"/>
    </row>
    <row r="76" spans="1:8" x14ac:dyDescent="0.25">
      <c r="A76" s="16"/>
      <c r="B76" s="40" t="s">
        <v>7</v>
      </c>
      <c r="C76" s="56">
        <f>COUNTIF($C$58:$C$72,"Positive_Praise")</f>
        <v>3</v>
      </c>
      <c r="D76" s="57">
        <f>COUNTIFS($C$58:$C$72,"Positive_Praise",$F$58:$F$72,"Yes")</f>
        <v>2</v>
      </c>
      <c r="E76" s="42">
        <f>Table278[[#This Row],[CORRECT TEST]]/Table278[[#This Row],[TOTAL TEST CASES]]</f>
        <v>0.66666666666666663</v>
      </c>
      <c r="F76" s="16"/>
    </row>
    <row r="77" spans="1:8" x14ac:dyDescent="0.25">
      <c r="A77" s="16"/>
      <c r="B77" s="43" t="s">
        <v>11</v>
      </c>
      <c r="C77" s="56">
        <f>COUNTIF($C$58:$C$72,"Negative_Complaint")</f>
        <v>6</v>
      </c>
      <c r="D77" s="57">
        <f>COUNTIFS($C$58:$C$72,"Negative_Complaint",$F$58:$F$72,"Yes")</f>
        <v>6</v>
      </c>
      <c r="E77" s="42">
        <f>Table278[[#This Row],[CORRECT TEST]]/Table278[[#This Row],[TOTAL TEST CASES]]</f>
        <v>1</v>
      </c>
      <c r="F77" s="16"/>
    </row>
    <row r="78" spans="1:8" x14ac:dyDescent="0.25">
      <c r="A78" s="16"/>
      <c r="B78" s="43" t="s">
        <v>15</v>
      </c>
      <c r="C78" s="56">
        <f>COUNTIF($C$58:$C$72,"Urgent_Support")</f>
        <v>3</v>
      </c>
      <c r="D78" s="57">
        <f>COUNTIFS($C$58:$C$72,"Urgent_Support",$F$58:$F$72,"Yes")</f>
        <v>3</v>
      </c>
      <c r="E78" s="42">
        <f>Table278[[#This Row],[CORRECT TEST]]/Table278[[#This Row],[TOTAL TEST CASES]]</f>
        <v>1</v>
      </c>
      <c r="F78" s="16"/>
    </row>
    <row r="79" spans="1:8" x14ac:dyDescent="0.25">
      <c r="A79" s="16"/>
      <c r="B79" s="44" t="s">
        <v>28</v>
      </c>
      <c r="C79" s="45">
        <v>3</v>
      </c>
      <c r="D79" s="45" t="s">
        <v>33</v>
      </c>
      <c r="E79" s="45" t="s">
        <v>33</v>
      </c>
      <c r="F79" s="16"/>
    </row>
    <row r="80" spans="1:8" x14ac:dyDescent="0.25">
      <c r="A80" s="16"/>
      <c r="B80" s="16"/>
      <c r="C80" s="16"/>
      <c r="D80" s="16"/>
      <c r="E80" s="16"/>
      <c r="F80" s="16"/>
    </row>
    <row r="81" spans="1:6" x14ac:dyDescent="0.25">
      <c r="A81" s="16"/>
      <c r="B81" s="16"/>
      <c r="C81" s="16"/>
      <c r="D81" s="16"/>
      <c r="E81" s="16"/>
      <c r="F81" s="16"/>
    </row>
  </sheetData>
  <phoneticPr fontId="6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CAA0F2888564EB8A1B8EF5D7A3EB8" ma:contentTypeVersion="10" ma:contentTypeDescription="Create a new document." ma:contentTypeScope="" ma:versionID="63fab2582c4e4c744802ffda121abdc2">
  <xsd:schema xmlns:xsd="http://www.w3.org/2001/XMLSchema" xmlns:xs="http://www.w3.org/2001/XMLSchema" xmlns:p="http://schemas.microsoft.com/office/2006/metadata/properties" xmlns:ns3="a62ec97f-129e-44eb-bd22-3b66360d6e0e" targetNamespace="http://schemas.microsoft.com/office/2006/metadata/properties" ma:root="true" ma:fieldsID="2105c60c69d5b2019d174b80e16cc257" ns3:_="">
    <xsd:import namespace="a62ec97f-129e-44eb-bd22-3b66360d6e0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2ec97f-129e-44eb-bd22-3b66360d6e0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2ec97f-129e-44eb-bd22-3b66360d6e0e" xsi:nil="true"/>
  </documentManagement>
</p:properties>
</file>

<file path=customXml/itemProps1.xml><?xml version="1.0" encoding="utf-8"?>
<ds:datastoreItem xmlns:ds="http://schemas.openxmlformats.org/officeDocument/2006/customXml" ds:itemID="{F3A20FD1-798F-4A68-83F6-703E11B3C8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2ec97f-129e-44eb-bd22-3b66360d6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762CBF-74B2-4714-92B9-B701170130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7E4DDB-DE5E-4EEF-94BA-728447CA85F1}">
  <ds:schemaRefs>
    <ds:schemaRef ds:uri="http://purl.org/dc/terms/"/>
    <ds:schemaRef ds:uri="a62ec97f-129e-44eb-bd22-3b66360d6e0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BENJAMIN GUTIERREZ</dc:creator>
  <cp:lastModifiedBy>Audrey Gutierrez</cp:lastModifiedBy>
  <dcterms:created xsi:type="dcterms:W3CDTF">2026-07-31T12:50:44Z</dcterms:created>
  <dcterms:modified xsi:type="dcterms:W3CDTF">2026-07-31T19:23:40Z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0x010100C35CAA0F2888564EB8A1B8EF5D7A3EB8</vt:lpwstr>
  </property>
</Properties>
</file>